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Destination:  Seoul 
Pax: 10, 20, 30, 40, 50 pax
Travel date : APRIL - DEC 2026
Hotel  : Designer Cheongryangri or similar
ITINERARY
D1:
Flight KUL-ICN
D2
Airport Pickup
Starfield Library Suwon OR Starfield Library COEX
Nami Island 
Check-in
D3:
Gyeongbok Palace &amp; Gwanghwamun Square 
Sejong Museum 
Cheonggyecheon Stream
D4: 
Goto Mall Underground Shopping Mall 
OR Seongsu-dong
Namdaemun Market 
Myeongdong Street 
Dongdaemun Plaza &amp; Shopping Street 
D5: 
Namsan Tower by Cable Car
Itaewon Mosque
Banpo River Park 
Hongdae Street 
D6:
Check out
Free &amp; Easy
Airport Transfer
INCLUSIONS:-
Accommodation with daily breakfast ( 4 nights) 
Transportation  
Tour Guide  ( D2, D3,D4,D5) NO TG on D6 when airport sending
Tipping
All entrance fees</t>
      </text>
    </comment>
    <comment authorId="0" ref="C13">
      <text>
        <t xml:space="preserve">6D5N Seoul - Jeju
Hotel 
Day 1: 
Arrival at Incheon International Airport
Nami
Dongdaemun Design Plaza (DDP)
Check in Hotel
Day 2: 
Gyeongbokgung Palace 
Cheonggyecheon Stream 
Itaewon Street 
Songsudong Market 
Day 3: 
(Morning flight at 9 am)
Airport Pickup at Jeju Airport 
Osulloc Green Tea Farm and Innisfree Jeju House 
Yongmeori Coast Beach 
Cheonjeyeon Waterfalls
Check in Hotel
Day 4: 
Songeup Folk Village
Seopjikoji
Gimnyeong Beach
Seongsan Ilchulbong 
Seasonal Tour (entrance fee included):
• Autumn: Sangumburi Park - Silver Grass, Pink Muhly
• Winter: Hallabong Farm - Tangerine Fruit picking
• Spring: Canola Field / Cherry Blossom
• Summer: Sunflower Park / Hydrangea Flowers
Day 5: 
Airport Transfer to Jeju
Shopping &amp; City Tour
Namdaemun Market 
Namsan Cable Car
Myeongdong Street 
Check in Hotel
Day 6:
Check out Hotel
Transfer to Incheon International Airport
Flight to KLIA
INCLUSIONS:
Accommodation (Hotel 3 Star) with Breakfast
Private Airport Transfer 
Private Transport (10 hours basis)
Driving Guide English Speaking (10 hours basis)
Domestic Flight Ticket (Seoul-Jeju-Seoul) with 15kg Checked-in Luggage
Tipping Fee
K-ETA
Condition of calculation
Hotel: 
Jeju(2N)- Parkside, Samhaein or similar 
55,000krw/pax/N budget
Seoul(3N)- Migliore Hotel Myeongdong, Travelodge Namsan Myeongdong or similar 
90,000krw/pax/N budget
Transportation:
Domestic flight round trip: 120,000krw/Pax  Average throughout the year
Airport trasnfer x 3: 
Day3: Seoul hotel to Gimpo airport
Day5: Jeju hotel to Jeju airport
Day6: Seoul hotel to ICN airport
2-5 Pax: English speaking driving guide 10H Basis / No extra cost even covering dinner
Vehicle type: Staria or similar
6-8Pax: English speaking driving guide 10H Basis / No extra cost even covering dinner
Vehicle type: Staria or similar + Additional vehicle for luggage
6-8Pax, Airport transfer will be x 6 because have to use 2 vehicle
Meal:
Breakfast only
Entrance fee
Gyeongbok: 3,000
Nami: 16,000
Cable car: 15,000
Seongsan Ilchulbong: 5,000
Cheonjeyeon: 2500
Yongmeori 2500
Seasonal 8000
Total 52,000krw/Pax
Entrance Fees
</t>
      </text>
    </comment>
    <comment authorId="0" ref="C12">
      <text>
        <t xml:space="preserve">Day 1: 
Airport Pickup 
Bukchon Hanok Village 
Gyeongbok Palace**
Insadong Street 
Check in Hotel
Day 2: 
Nami Island**
DDP
Day 3: 
Namdaemun Market 
Namsan Tower by bus** 
Itaewon Market 
Myeondong Street
Day 4: 
Gwanghamun Square 
Sejong Museum 
Cheonggyecheon Stream 
Starfield Library 
Gangnam Statue
Day 5: 
Check out Hotel
Airport Transfer
INCLUSIONS:
3* Hotel Myeongdong&amp;Dongdaemun without breakfast
Private transport
Guide + tipping for 8H
Entrance fee as mentioned
EXCLUSION
Meals: Breakfast , Lunch, Dinner
@hirzie_azman  
Condition of calculation
Hotel: 
Jeju(2N)- Parkside, Samhaein or similar 
55,000krw/pax/N budget
Seoul(3N)- Migliore Hotel Myeongdong, Travelodge Namsan Myeongdong or similar 
90,000krw/pax/N budget
Transportation:
Domestic flight round trip: 120,000krw/Pax  Average throughout the year
Airport trasnfer x 3: 
Day3: Seoul hotel to Gimpo airport
Day5: Jeju hotel to Jeju airport
Day6: Seoul hotel to ICN airport
2-5 Pax: English speaking driving guide 10H Basis / No extra cost even covering dinner
Vehicle type: Staria or similar
6-8Pax: English speaking driving guide 10H Basis / No extra cost even covering dinner
Vehicle type: Staria or similar + Additional vehicle for luggage
6-8Pax, Airport transfer will be x 6 because have to use 2 vehicle
Meal:
Breakfast only
Entrance fee
Gyeongbok: 3,000
Nami: 16,000
Cable car: 15,000
Seongsan Ilchulbong: 5,000
Cheonjeyeon: 2500
Yongmeori 2500
Seasonal 8000
Total 52,000krw/Pax
</t>
      </text>
    </comment>
    <comment authorId="0" ref="C10">
      <text>
        <t xml:space="preserve">Details:
🔸Duration: 5D4N
🔸Flight: AirAsia (timing as per attached)
🔸Itinerary: 
--Day 1: Flight, 09:45 arrival
Gamcheon Village, 
Busan Tower&amp;Yongdusan(same area)
Jagalchi Fish Market, 
BIFF Square&amp;Nampodong Fashion Street (same area)
--Day 2: 
Oryukdo Skywalk(View), 
Sky Capsule/Haeundae Beach Train(View), 
Haeundae Beach Shopping street
+The Bay 101 (Optional Yatch tour available)
--Day 3: , 
Haeundae beach &amp; Nurimaru APEC House
Busan Mosque, 
Centum city
--Day 4: 
Songdo Cable Car(View), 
Taejongdae Tram(View), or Arte Museum 
Huinnyeol Folk Village(View), 
Seomyeon Young People's Street 
--Day 5: Flight
11:00AM Departure 
To consider to include in itinerary:
1) The Bay 101
2) any other suggestions
* Lotte premium outlet</t>
      </text>
    </comment>
    <comment authorId="0" ref="C9">
      <text>
        <t xml:space="preserve">Hotel: Ramada Jeju City, Shinshin hotel Jeju airport or similar
Day1: KUL-SIN-CJU
Day2: 
Arrive CJU 07:15
08:00~9:30  Yongduam Rock, YongyeonPond
10:30~11:30 Sinchang Windmill Coastal Road
12:30~13:00 Iho Tewoo Horse Light house
13:30~14:30 Lunch 
Check-in Solat at Hotel or Restaurant 
16:00~17:30 Dongmun Market 
18:00 Dinner end of tour
Day3.
&gt; Mysterious Road
&gt; Osulloc Green Tea Farm 
&gt; Yongmori Coast, 
&gt; Cheonjeyeon Waterfalls
Day4.
&gt; Songeup Folk village 
&gt; Seopjikoji
&gt; Seongsan ilchulbong, 
&gt; Gimnyeong beach
Day5. 
&gt; Udo , F&amp;E 
Day6 
&gt; Check-out airport transfer 08:40(departure)
Seasonal Tour Spots : 
DEC - FEB(Tangerine Farm), 
MAR(Cherry Blossom), 
APR - MAY(Canola Field), 
JUN - JUL(Hydrangea), 
AUG(Sunflower), 
SEP(Pink Muhly), 
Oct - Nov(Silver Grass)</t>
      </text>
    </comment>
    <comment authorId="0" ref="C8">
      <text>
        <t xml:space="preserve">Hotel: Parkside, Samhaein or similar 
Day1: KUL-SIN-CJU
Day2: 
Arrive CJU 07:15
08:00~9:30  Yongduam Rock, YongyeonPond
10:30~11:30 Sinchang Windmill Coastal Road
12:30~13:00 Iho Tewoo Horse Light house
13:30~14:30 Lunch 
Check-in Solat at Hotel or Restaurant 
16:00~17:30 Dongmun Market 
18:00 Dinner end of tour
Day3.
&gt; Mysterious Road
&gt; Osulloc Green Tea Farm 
&gt; Yongmori Coast, 
&gt; Cheonjeyeon Waterfalls
Day4.
&gt; Songeup Folk village 
&gt; Seopjikoji
&gt; Seongsan ilchulbong, 
&gt; Gimnyeong beach
Day5. 
&gt; Udo , F&amp;E 
Day6 
&gt; Check-out airport transfer 08:40(departure)
Seasonal Tour Spots : 
DEC - FEB(Tangerine Farm), 
MAR(Cherry Blossom), 
APR - MAY(Canola Field), 
JUN - JUL(Hydrangea), 
AUG(Sunflower), 
SEP(Pink Muhly), 
Oct - Nov(Silver Grass)</t>
      </text>
    </comment>
    <comment authorId="0" ref="C7">
      <text>
        <t xml:space="preserve">Hotel: Parkside, Samhaein or similar 
Day1: KUL-SIN-CJU
Day1: 
Arrive CJU 
Yongduam Rock, YongyeonPond
Saryeoni Forest Trail
Iho Tewoo Horse Light house
Dongmun Market 
Day2.
&gt; Saebyeol Oreum
&gt; Osulloc Green Tea Farm 
&gt; Yongmori Coast, 
&gt; Cheonjeyeon Waterfalls
Day3.
&gt; Songeup Folk village 
&gt; Seopjikoji
&gt; Seongsan ilchulbong, 
&gt; Gimnyeong beach
Day4
&gt; Check-out airport transfer 08:40(departure)
Seasonal Tour Spots : 
DEC - FEB(Tangerine Farm), 
MAR(Cherry Blossom), 
APR - MAY(Canola Field), 
JUN - JUL(Hydrangea), 
AUG(Sunflower), 
SEP(Pink Muhly), 
Oct - Nov(Silver Grass)</t>
      </text>
    </comment>
    <comment authorId="0" ref="C6">
      <text>
        <t xml:space="preserve">2-16pax SeoulTower Cable car
17-42pax EV Bus</t>
      </text>
    </comment>
    <comment authorId="0" ref="C5">
      <text>
        <t xml:space="preserve">2-16pax SeoulTower Cable car
17-42pax EV Bus</t>
      </text>
    </comment>
  </commentList>
</comments>
</file>

<file path=xl/sharedStrings.xml><?xml version="1.0" encoding="utf-8"?>
<sst xmlns="http://schemas.openxmlformats.org/spreadsheetml/2006/main" count="36" uniqueCount="30">
  <si>
    <t>Valid</t>
  </si>
  <si>
    <t>Package</t>
  </si>
  <si>
    <t>Hotel&amp;Budget</t>
  </si>
  <si>
    <t>SGL Sppl</t>
  </si>
  <si>
    <t>Carnival,Staria or Similar</t>
  </si>
  <si>
    <t>+Luggage vehicle</t>
  </si>
  <si>
    <t>Solati, 25 Seater bus</t>
  </si>
  <si>
    <t>45 Seater bus or similar</t>
  </si>
  <si>
    <r>
      <rPr>
        <rFont val="Arial"/>
        <b/>
        <color theme="1"/>
        <sz val="7.0"/>
      </rPr>
      <t xml:space="preserve">GT-BSC SEOUL
</t>
    </r>
    <r>
      <rPr>
        <rFont val="Arial"/>
        <b val="0"/>
        <color theme="1"/>
        <sz val="7.0"/>
      </rPr>
      <t>F&amp;E Day x 1
No Meal</t>
    </r>
  </si>
  <si>
    <t>3* Hotel Outskirt
Seoul 
Budget 55,000krw/pax/N</t>
  </si>
  <si>
    <r>
      <t xml:space="preserve">GT-SEOUL LITE
</t>
    </r>
    <r>
      <rPr>
        <rFont val="Arial"/>
        <b val="0"/>
        <color theme="1"/>
        <sz val="7.0"/>
      </rPr>
      <t xml:space="preserve">F&amp;E Day x 1
</t>
    </r>
    <r>
      <rPr>
        <rFont val="Arial"/>
        <b/>
        <color theme="1"/>
        <sz val="7.0"/>
      </rPr>
      <t>Lunch x , Dinner x 2
No Nami</t>
    </r>
  </si>
  <si>
    <t xml:space="preserve"> </t>
  </si>
  <si>
    <r>
      <rPr>
        <rFont val="Arial"/>
        <b/>
        <color theme="1"/>
        <sz val="7.0"/>
      </rPr>
      <t xml:space="preserve">GT&amp;PT-STD SEOUL
</t>
    </r>
    <r>
      <rPr>
        <rFont val="Arial"/>
        <b val="0"/>
        <color theme="1"/>
        <sz val="7.0"/>
      </rPr>
      <t>Full board</t>
    </r>
  </si>
  <si>
    <t>3* Hotel Outskirt
Designers
&amp; Incheon
Budget 55,000krw/pax/N</t>
  </si>
  <si>
    <r>
      <rPr>
        <rFont val="Arial"/>
        <b/>
        <color theme="1"/>
        <sz val="7.0"/>
      </rPr>
      <t xml:space="preserve">GT&amp;PT-FXP SEOUL
</t>
    </r>
    <r>
      <rPr>
        <rFont val="Arial"/>
        <b val="0"/>
        <color theme="1"/>
        <sz val="7.0"/>
      </rPr>
      <t>Full board</t>
    </r>
  </si>
  <si>
    <t>3* Hotel 
Travelodge, Ibis Myeongdong, 
Migliore Myeongdong
Budget 95,000krw/pax/N</t>
  </si>
  <si>
    <r>
      <rPr>
        <rFont val="Arial"/>
        <b/>
        <color theme="1"/>
        <sz val="7.0"/>
      </rPr>
      <t xml:space="preserve">PT&amp;GT
</t>
    </r>
    <r>
      <rPr>
        <rFont val="Arial"/>
        <b/>
        <color rgb="FF0000FF"/>
        <sz val="7.0"/>
      </rPr>
      <t>JEJU 4D3N</t>
    </r>
    <r>
      <rPr>
        <rFont val="Arial"/>
        <b/>
        <color theme="1"/>
        <sz val="7.0"/>
      </rPr>
      <t xml:space="preserve">
</t>
    </r>
    <r>
      <rPr>
        <rFont val="Arial"/>
        <b val="0"/>
        <color theme="1"/>
        <sz val="7.0"/>
      </rPr>
      <t>NO Meal</t>
    </r>
  </si>
  <si>
    <t>3* Hotel 
Parkside or similar
Budget 50,000krw/pax/N</t>
  </si>
  <si>
    <r>
      <rPr>
        <rFont val="Arial"/>
        <b/>
        <color theme="1"/>
        <sz val="7.0"/>
      </rPr>
      <t xml:space="preserve">PT&amp;GT-BSC, STD
JEJU UDO 5D4N
</t>
    </r>
    <r>
      <rPr>
        <rFont val="Arial"/>
        <b val="0"/>
        <color theme="1"/>
        <sz val="7.0"/>
      </rPr>
      <t>Full board</t>
    </r>
  </si>
  <si>
    <r>
      <rPr>
        <rFont val="Arial"/>
        <b/>
        <color theme="1"/>
        <sz val="7.0"/>
      </rPr>
      <t xml:space="preserve">PT&amp;GT-PM
JEJU UDO 5D4N
</t>
    </r>
    <r>
      <rPr>
        <rFont val="Arial"/>
        <b val="0"/>
        <color theme="1"/>
        <sz val="7.0"/>
      </rPr>
      <t>Full board</t>
    </r>
  </si>
  <si>
    <t>4* Hotel 
Ramada City or similar
Budget 70,000krw/pax/N</t>
  </si>
  <si>
    <r>
      <rPr>
        <rFont val="Arial"/>
        <b/>
        <color theme="1"/>
        <sz val="7.0"/>
      </rPr>
      <t xml:space="preserve">PT&amp;GT
BUSAN 5D4N
</t>
    </r>
    <r>
      <rPr>
        <rFont val="Arial"/>
        <b val="0"/>
        <color theme="1"/>
        <sz val="7.0"/>
      </rPr>
      <t>Full board</t>
    </r>
  </si>
  <si>
    <t>3* Hotel
Griffinbay or similar
Budget 45,000krw/Pax/N</t>
  </si>
  <si>
    <r>
      <rPr>
        <rFont val="Arial"/>
        <b/>
        <color theme="1"/>
        <sz val="7.0"/>
      </rPr>
      <t xml:space="preserve">PT 5D4N -BSC
</t>
    </r>
    <r>
      <rPr>
        <rFont val="Arial"/>
        <b val="0"/>
        <color theme="1"/>
        <sz val="7.0"/>
      </rPr>
      <t>F&amp;E Day x 2
No Meal
No Namsan</t>
    </r>
  </si>
  <si>
    <t xml:space="preserve">3* Hotel outskirt
Budget 60,000krw/pax/N
</t>
  </si>
  <si>
    <r>
      <rPr>
        <rFont val="Arial"/>
        <b/>
        <color theme="1"/>
        <sz val="7.0"/>
      </rPr>
      <t xml:space="preserve">PT 5D4N Seoul 
Standard
</t>
    </r>
    <r>
      <rPr>
        <rFont val="Arial"/>
        <b val="0"/>
        <color theme="1"/>
        <sz val="7.0"/>
      </rPr>
      <t>NO Meal</t>
    </r>
  </si>
  <si>
    <r>
      <rPr>
        <rFont val="Arial"/>
        <b/>
        <color theme="1"/>
        <sz val="7.0"/>
      </rPr>
      <t xml:space="preserve">PT 6D5N Seoul-Jeju
Standard
</t>
    </r>
    <r>
      <rPr>
        <rFont val="Arial"/>
        <b val="0"/>
        <color theme="1"/>
        <sz val="7.0"/>
      </rPr>
      <t>NO Meal</t>
    </r>
  </si>
  <si>
    <t xml:space="preserve">Seoul 3* Migliore or similar
Jeju: Parkside or similar
</t>
  </si>
  <si>
    <r>
      <rPr>
        <rFont val="Arial"/>
        <b/>
        <color theme="1"/>
        <sz val="7.0"/>
      </rPr>
      <t xml:space="preserve">BT 5D4N
Standard
</t>
    </r>
    <r>
      <rPr>
        <rFont val="Arial"/>
        <b val="0"/>
        <color theme="1"/>
        <sz val="7.0"/>
      </rPr>
      <t>No Meal</t>
    </r>
  </si>
  <si>
    <t>3* Hotel Outskirt
Seoul, Gyeonggi 
or Incheon
Budget 55,000krw/pax/N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</si>
</sst>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6.0"/>
      <color theme="1"/>
      <name val="Arial"/>
    </font>
    <font/>
    <font>
      <sz val="8.0"/>
      <color theme="1"/>
      <name val="Arial"/>
    </font>
    <font>
      <sz val="7.0"/>
      <color theme="1"/>
      <name val="Arial"/>
    </font>
    <font>
      <sz val="11.0"/>
      <color theme="1"/>
      <name val="Calibri"/>
    </font>
    <font>
      <b/>
      <sz val="7.0"/>
      <color theme="1"/>
      <name val="Arial"/>
    </font>
    <font>
      <sz val="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3" fontId="3" numFmtId="3" xfId="0" applyAlignment="1" applyBorder="1" applyFill="1" applyFont="1" applyNumberFormat="1">
      <alignment horizontal="center"/>
    </xf>
    <xf borderId="5" fillId="0" fontId="2" numFmtId="0" xfId="0" applyBorder="1" applyFont="1"/>
    <xf quotePrefix="1" borderId="6" fillId="3" fontId="4" numFmtId="0" xfId="0" applyAlignment="1" applyBorder="1" applyFill="1" applyFont="1">
      <alignment horizontal="center"/>
    </xf>
    <xf borderId="2" fillId="0" fontId="2" numFmtId="0" xfId="0" applyBorder="1" applyFont="1"/>
    <xf borderId="7" fillId="3" fontId="3" numFmtId="3" xfId="0" applyAlignment="1" applyBorder="1" applyFill="1" applyFont="1" applyNumberFormat="1">
      <alignment horizontal="center"/>
    </xf>
    <xf borderId="7" fillId="0" fontId="2" numFmtId="0" xfId="0" applyBorder="1" applyFont="1"/>
    <xf borderId="8" fillId="3" fontId="5" numFmtId="3" xfId="0" applyBorder="1" applyFill="1" applyFont="1" applyNumberFormat="1"/>
    <xf borderId="9" fillId="4" fontId="1" numFmtId="0" xfId="0" applyAlignment="1" applyBorder="1" applyFill="1" applyFont="1">
      <alignment horizontal="center" shrinkToFit="0" wrapText="1"/>
    </xf>
    <xf borderId="8" fillId="4" fontId="6" numFmtId="0" xfId="0" applyAlignment="1" applyBorder="1" applyFill="1" applyFont="1">
      <alignment horizontal="center"/>
    </xf>
    <xf borderId="8" fillId="4" fontId="4" numFmtId="0" xfId="0" applyAlignment="1" applyBorder="1" applyFill="1" applyFont="1">
      <alignment horizontal="center"/>
    </xf>
    <xf borderId="8" fillId="0" fontId="7" numFmtId="3" xfId="0" applyAlignment="1" applyBorder="1" applyFont="1" applyNumberFormat="1">
      <alignment horizontal="center"/>
    </xf>
    <xf borderId="9" fillId="4" fontId="5" numFmtId="0" xfId="0" applyBorder="1" applyFill="1" applyFont="1"/>
    <xf borderId="8" fillId="5" fontId="7" numFmtId="3" xfId="0" applyAlignment="1" applyBorder="1" applyFill="1" applyFont="1" applyNumberFormat="1">
      <alignment horizontal="center"/>
    </xf>
    <xf borderId="7" fillId="6" fontId="5" numFmtId="3" xfId="0" applyBorder="1" applyFill="1" applyFont="1" applyNumberFormat="1"/>
    <xf borderId="8" fillId="6" fontId="5" numFmtId="3" xfId="0" applyBorder="1" applyFill="1" applyFont="1" applyNumberFormat="1"/>
    <xf borderId="10" fillId="4" fontId="5" numFmtId="0" xfId="0" applyBorder="1" applyFill="1" applyFont="1"/>
    <xf borderId="11" fillId="5" fontId="7" numFmtId="3" xfId="0" applyAlignment="1" applyBorder="1" applyFill="1" applyFont="1" applyNumberFormat="1">
      <alignment horizontal="center"/>
    </xf>
    <xf borderId="3" fillId="4" fontId="6" numFmtId="0" xfId="0" applyAlignment="1" applyBorder="1" applyFill="1" applyFont="1">
      <alignment horizontal="center"/>
    </xf>
    <xf borderId="0" fillId="4" fontId="5" numFmtId="0" xfId="0" applyFill="1" applyFont="1"/>
    <xf borderId="11" fillId="0" fontId="7" numFmtId="3" xfId="0" applyAlignment="1" applyBorder="1" applyFont="1" applyNumberFormat="1">
      <alignment horizontal="center"/>
    </xf>
    <xf borderId="11" fillId="4" fontId="6" numFmtId="0" xfId="0" applyAlignment="1" applyBorder="1" applyFill="1" applyFont="1">
      <alignment horizontal="center"/>
    </xf>
    <xf borderId="11" fillId="4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17.38"/>
  </cols>
  <sheetData>
    <row r="1" ht="42.75" customHeight="1">
      <c r="A1" s="1" t="s">
        <v>0</v>
      </c>
      <c r="B1" s="1" t="s">
        <v>1</v>
      </c>
      <c r="C1" s="1" t="s">
        <v>2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>
        <v>28.0</v>
      </c>
      <c r="AE1" s="2">
        <v>29.0</v>
      </c>
      <c r="AF1" s="2">
        <v>30.0</v>
      </c>
      <c r="AG1" s="2">
        <v>31.0</v>
      </c>
      <c r="AH1" s="2">
        <v>32.0</v>
      </c>
      <c r="AI1" s="2">
        <v>33.0</v>
      </c>
      <c r="AJ1" s="2">
        <v>34.0</v>
      </c>
      <c r="AK1" s="2">
        <v>35.0</v>
      </c>
      <c r="AL1" s="2">
        <v>36.0</v>
      </c>
      <c r="AM1" s="2">
        <v>37.0</v>
      </c>
      <c r="AN1" s="2">
        <v>38.0</v>
      </c>
      <c r="AO1" s="2">
        <v>39.0</v>
      </c>
      <c r="AP1" s="2">
        <v>40.0</v>
      </c>
      <c r="AQ1" s="2">
        <v>41.0</v>
      </c>
      <c r="AR1" s="2">
        <v>42.0</v>
      </c>
      <c r="AS1" s="3" t="s">
        <v>3</v>
      </c>
    </row>
    <row r="2" ht="42.75" customHeight="1">
      <c r="A2" s="4"/>
      <c r="B2" s="4"/>
      <c r="C2" s="4"/>
      <c r="D2" s="5" t="s">
        <v>4</v>
      </c>
      <c r="E2" s="6"/>
      <c r="F2" s="6"/>
      <c r="G2" s="6"/>
      <c r="H2" s="6"/>
      <c r="I2" s="7" t="s">
        <v>5</v>
      </c>
      <c r="J2" s="8"/>
      <c r="K2" s="9" t="s">
        <v>6</v>
      </c>
      <c r="L2" s="10"/>
      <c r="M2" s="10"/>
      <c r="N2" s="10"/>
      <c r="O2" s="7" t="s">
        <v>5</v>
      </c>
      <c r="P2" s="6"/>
      <c r="Q2" s="6"/>
      <c r="R2" s="8"/>
      <c r="S2" s="9" t="s">
        <v>7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7" t="s">
        <v>5</v>
      </c>
      <c r="AP2" s="6"/>
      <c r="AQ2" s="6"/>
      <c r="AR2" s="8"/>
      <c r="AS2" s="11"/>
    </row>
    <row r="3" ht="42.75" customHeight="1">
      <c r="A3" s="12">
        <v>2026.0</v>
      </c>
      <c r="B3" s="13" t="s">
        <v>8</v>
      </c>
      <c r="C3" s="14" t="s">
        <v>9</v>
      </c>
      <c r="D3" s="15">
        <v>1037500.0</v>
      </c>
      <c r="E3" s="15">
        <v>796667.0</v>
      </c>
      <c r="F3" s="15">
        <v>676250.0</v>
      </c>
      <c r="G3" s="15">
        <v>604000.0</v>
      </c>
      <c r="H3" s="15">
        <v>555833.0</v>
      </c>
      <c r="I3" s="15">
        <v>552857.0</v>
      </c>
      <c r="J3" s="15">
        <v>523125.0</v>
      </c>
      <c r="K3" s="15">
        <v>691667.0</v>
      </c>
      <c r="L3" s="15">
        <v>654000.0</v>
      </c>
      <c r="M3" s="15">
        <v>623182.0</v>
      </c>
      <c r="N3" s="15">
        <v>615833.0</v>
      </c>
      <c r="O3" s="15">
        <v>592692.0</v>
      </c>
      <c r="P3" s="15">
        <v>572857.0</v>
      </c>
      <c r="Q3" s="15">
        <v>555667.0</v>
      </c>
      <c r="R3" s="15">
        <v>540625.0</v>
      </c>
      <c r="S3" s="15">
        <v>549706.0</v>
      </c>
      <c r="T3" s="15">
        <v>536667.0</v>
      </c>
      <c r="U3" s="15">
        <v>525000.0</v>
      </c>
      <c r="V3" s="15">
        <v>514500.0</v>
      </c>
      <c r="W3" s="15">
        <v>505000.0</v>
      </c>
      <c r="X3" s="15">
        <v>496364.0</v>
      </c>
      <c r="Y3" s="15">
        <v>488478.0</v>
      </c>
      <c r="Z3" s="15">
        <v>481250.0</v>
      </c>
      <c r="AA3" s="15">
        <v>474600.0</v>
      </c>
      <c r="AB3" s="15">
        <v>468462.0</v>
      </c>
      <c r="AC3" s="15">
        <v>462778.0</v>
      </c>
      <c r="AD3" s="15">
        <v>457500.0</v>
      </c>
      <c r="AE3" s="15">
        <v>452586.0</v>
      </c>
      <c r="AF3" s="15">
        <v>448000.0</v>
      </c>
      <c r="AG3" s="15">
        <v>443710.0</v>
      </c>
      <c r="AH3" s="15">
        <v>439688.0</v>
      </c>
      <c r="AI3" s="15">
        <v>435909.0</v>
      </c>
      <c r="AJ3" s="15">
        <v>432353.0</v>
      </c>
      <c r="AK3" s="15">
        <v>429000.0</v>
      </c>
      <c r="AL3" s="15">
        <v>425833.0</v>
      </c>
      <c r="AM3" s="15">
        <v>422838.0</v>
      </c>
      <c r="AN3" s="15">
        <v>420000.0</v>
      </c>
      <c r="AO3" s="15">
        <v>422949.0</v>
      </c>
      <c r="AP3" s="15">
        <v>420250.0</v>
      </c>
      <c r="AQ3" s="15">
        <v>417683.0</v>
      </c>
      <c r="AR3" s="15">
        <v>415238.0</v>
      </c>
      <c r="AS3" s="15">
        <v>220000.0</v>
      </c>
    </row>
    <row r="4" ht="42.75" customHeight="1">
      <c r="A4" s="16"/>
      <c r="B4" s="13" t="s">
        <v>10</v>
      </c>
      <c r="C4" s="14" t="s">
        <v>9</v>
      </c>
      <c r="D4" s="17">
        <f>921000-68000</f>
        <v>853000</v>
      </c>
      <c r="E4" s="17">
        <f>741000-68000</f>
        <v>673000</v>
      </c>
      <c r="F4" s="17">
        <f>651000-68000</f>
        <v>583000</v>
      </c>
      <c r="G4" s="17">
        <f>597000-68000</f>
        <v>529000</v>
      </c>
      <c r="H4" s="17">
        <f>561000-68000</f>
        <v>493000</v>
      </c>
      <c r="I4" s="17">
        <f>566714-68000</f>
        <v>498714</v>
      </c>
      <c r="J4" s="17">
        <f>543500-68000</f>
        <v>475500</v>
      </c>
      <c r="K4" s="17">
        <f>662222-68000</f>
        <v>594222</v>
      </c>
      <c r="L4" s="17">
        <f>631600-68000</f>
        <v>563600</v>
      </c>
      <c r="M4" s="17">
        <f>606545-68000</f>
        <v>538545</v>
      </c>
      <c r="N4" s="17">
        <f>585667-68000</f>
        <v>517667</v>
      </c>
      <c r="O4" s="17">
        <f>584923-68000</f>
        <v>516923</v>
      </c>
      <c r="P4" s="17">
        <f>568571-68000</f>
        <v>500571</v>
      </c>
      <c r="Q4" s="17">
        <f>554400-68000</f>
        <v>486400</v>
      </c>
      <c r="R4" s="17">
        <f>542000-68000</f>
        <v>474000</v>
      </c>
      <c r="S4" s="17">
        <f>546588-80000</f>
        <v>466588</v>
      </c>
      <c r="T4" s="17">
        <f>536000-80000</f>
        <v>456000</v>
      </c>
      <c r="U4" s="17">
        <f>526526-80000</f>
        <v>446526</v>
      </c>
      <c r="V4" s="17">
        <f>518000-80000</f>
        <v>438000</v>
      </c>
      <c r="W4" s="17">
        <f>510286-80000</f>
        <v>430286</v>
      </c>
      <c r="X4" s="17">
        <f>503273-80000</f>
        <v>423273</v>
      </c>
      <c r="Y4" s="17">
        <f>496870-80000</f>
        <v>416870</v>
      </c>
      <c r="Z4" s="17">
        <f>491000-80000</f>
        <v>411000</v>
      </c>
      <c r="AA4" s="17">
        <f>485600-80000</f>
        <v>405600</v>
      </c>
      <c r="AB4" s="17">
        <f>480615-80000</f>
        <v>400615</v>
      </c>
      <c r="AC4" s="17">
        <f>476000-80000</f>
        <v>396000</v>
      </c>
      <c r="AD4" s="17">
        <f>471714-80000</f>
        <v>391714</v>
      </c>
      <c r="AE4" s="17">
        <f>467724-80000</f>
        <v>387724</v>
      </c>
      <c r="AF4" s="17">
        <f>464000-80000</f>
        <v>384000</v>
      </c>
      <c r="AG4" s="17">
        <f>460516-80000</f>
        <v>380516</v>
      </c>
      <c r="AH4" s="17">
        <f>457250-80000</f>
        <v>377250</v>
      </c>
      <c r="AI4" s="17">
        <f>454182-80000</f>
        <v>374182</v>
      </c>
      <c r="AJ4" s="17">
        <f>451294-80000</f>
        <v>371294</v>
      </c>
      <c r="AK4" s="17">
        <f>448571-80000</f>
        <v>368571</v>
      </c>
      <c r="AL4" s="17">
        <f>446000-80000</f>
        <v>366000</v>
      </c>
      <c r="AM4" s="17">
        <f>443568-80000</f>
        <v>363568</v>
      </c>
      <c r="AN4" s="17">
        <f>441263-80000</f>
        <v>361263</v>
      </c>
      <c r="AO4" s="17">
        <f>444718-80000</f>
        <v>364718</v>
      </c>
      <c r="AP4" s="17">
        <f>442500-80000</f>
        <v>362500</v>
      </c>
      <c r="AQ4" s="17">
        <f>440390-80000</f>
        <v>360390</v>
      </c>
      <c r="AR4" s="17">
        <f>438381-80000</f>
        <v>358381</v>
      </c>
      <c r="AS4" s="17">
        <v>220000.0</v>
      </c>
    </row>
    <row r="5" ht="42.75" customHeight="1">
      <c r="A5" s="12" t="s">
        <v>11</v>
      </c>
      <c r="B5" s="13" t="s">
        <v>12</v>
      </c>
      <c r="C5" s="14" t="s">
        <v>13</v>
      </c>
      <c r="D5" s="17">
        <v>1407700.0</v>
      </c>
      <c r="E5" s="17">
        <v>1104367.0</v>
      </c>
      <c r="F5" s="17">
        <v>952700.0</v>
      </c>
      <c r="G5" s="17">
        <v>861700.0</v>
      </c>
      <c r="H5" s="17">
        <v>801033.0</v>
      </c>
      <c r="I5" s="17">
        <v>789129.0</v>
      </c>
      <c r="J5" s="17">
        <v>752700.0</v>
      </c>
      <c r="K5" s="17">
        <v>922778.0</v>
      </c>
      <c r="L5" s="17">
        <v>877000.0</v>
      </c>
      <c r="M5" s="17">
        <v>839545.0</v>
      </c>
      <c r="N5" s="17">
        <v>808333.0</v>
      </c>
      <c r="O5" s="17">
        <v>798846.0</v>
      </c>
      <c r="P5" s="17">
        <v>775000.0</v>
      </c>
      <c r="Q5" s="17">
        <v>754333.0</v>
      </c>
      <c r="R5" s="17">
        <v>736250.0</v>
      </c>
      <c r="S5" s="17">
        <v>731941.0</v>
      </c>
      <c r="T5" s="17">
        <v>716222.0</v>
      </c>
      <c r="U5" s="17">
        <v>702158.0</v>
      </c>
      <c r="V5" s="17">
        <v>689500.0</v>
      </c>
      <c r="W5" s="17">
        <v>678048.0</v>
      </c>
      <c r="X5" s="17">
        <v>667636.0</v>
      </c>
      <c r="Y5" s="17">
        <v>658130.0</v>
      </c>
      <c r="Z5" s="17">
        <v>649417.0</v>
      </c>
      <c r="AA5" s="17">
        <v>641400.0</v>
      </c>
      <c r="AB5" s="17">
        <v>634000.0</v>
      </c>
      <c r="AC5" s="17">
        <v>627148.0</v>
      </c>
      <c r="AD5" s="17">
        <v>620786.0</v>
      </c>
      <c r="AE5" s="17">
        <v>614862.0</v>
      </c>
      <c r="AF5" s="17">
        <v>609333.0</v>
      </c>
      <c r="AG5" s="17">
        <v>604161.0</v>
      </c>
      <c r="AH5" s="17">
        <v>599313.0</v>
      </c>
      <c r="AI5" s="17">
        <v>594758.0</v>
      </c>
      <c r="AJ5" s="17">
        <v>590471.0</v>
      </c>
      <c r="AK5" s="17">
        <v>586429.0</v>
      </c>
      <c r="AL5" s="17">
        <v>582611.0</v>
      </c>
      <c r="AM5" s="17">
        <v>579000.0</v>
      </c>
      <c r="AN5" s="17">
        <v>575579.0</v>
      </c>
      <c r="AO5" s="17">
        <v>577974.0</v>
      </c>
      <c r="AP5" s="17">
        <v>574750.0</v>
      </c>
      <c r="AQ5" s="17">
        <v>571683.0</v>
      </c>
      <c r="AR5" s="17">
        <v>568762.0</v>
      </c>
      <c r="AS5" s="15">
        <v>220000.0</v>
      </c>
    </row>
    <row r="6" ht="42.75" customHeight="1">
      <c r="A6" s="12" t="s">
        <v>11</v>
      </c>
      <c r="B6" s="13" t="s">
        <v>14</v>
      </c>
      <c r="C6" s="14" t="s">
        <v>15</v>
      </c>
      <c r="D6" s="17">
        <v>1567700.0</v>
      </c>
      <c r="E6" s="17">
        <v>1264367.0</v>
      </c>
      <c r="F6" s="17">
        <v>1112700.0</v>
      </c>
      <c r="G6" s="17">
        <v>1021700.0</v>
      </c>
      <c r="H6" s="17">
        <v>961033.0</v>
      </c>
      <c r="I6" s="17">
        <v>949129.0</v>
      </c>
      <c r="J6" s="17">
        <v>912700.0</v>
      </c>
      <c r="K6" s="17">
        <v>1082778.0</v>
      </c>
      <c r="L6" s="17">
        <v>1037000.0</v>
      </c>
      <c r="M6" s="17">
        <v>999545.0</v>
      </c>
      <c r="N6" s="17">
        <v>968333.0</v>
      </c>
      <c r="O6" s="17">
        <v>958846.0</v>
      </c>
      <c r="P6" s="17">
        <v>935000.0</v>
      </c>
      <c r="Q6" s="17">
        <v>914333.0</v>
      </c>
      <c r="R6" s="17">
        <v>896250.0</v>
      </c>
      <c r="S6" s="17">
        <v>891941.0</v>
      </c>
      <c r="T6" s="17">
        <v>876222.0</v>
      </c>
      <c r="U6" s="17">
        <v>862158.0</v>
      </c>
      <c r="V6" s="17">
        <v>849500.0</v>
      </c>
      <c r="W6" s="17">
        <v>838048.0</v>
      </c>
      <c r="X6" s="17">
        <v>827636.0</v>
      </c>
      <c r="Y6" s="17">
        <v>818130.0</v>
      </c>
      <c r="Z6" s="17">
        <v>809417.0</v>
      </c>
      <c r="AA6" s="17">
        <v>801400.0</v>
      </c>
      <c r="AB6" s="17">
        <v>794000.0</v>
      </c>
      <c r="AC6" s="17">
        <v>787148.0</v>
      </c>
      <c r="AD6" s="17">
        <v>780786.0</v>
      </c>
      <c r="AE6" s="17">
        <v>774862.0</v>
      </c>
      <c r="AF6" s="17">
        <v>769333.0</v>
      </c>
      <c r="AG6" s="17">
        <v>764161.0</v>
      </c>
      <c r="AH6" s="17">
        <v>759313.0</v>
      </c>
      <c r="AI6" s="17">
        <v>754758.0</v>
      </c>
      <c r="AJ6" s="17">
        <v>750471.0</v>
      </c>
      <c r="AK6" s="17">
        <v>746429.0</v>
      </c>
      <c r="AL6" s="17">
        <v>742611.0</v>
      </c>
      <c r="AM6" s="17">
        <v>739000.0</v>
      </c>
      <c r="AN6" s="17">
        <v>735579.0</v>
      </c>
      <c r="AO6" s="17">
        <v>737974.0</v>
      </c>
      <c r="AP6" s="17">
        <v>734750.0</v>
      </c>
      <c r="AQ6" s="17">
        <v>731683.0</v>
      </c>
      <c r="AR6" s="17">
        <v>728762.0</v>
      </c>
      <c r="AS6" s="15">
        <v>380000.0</v>
      </c>
    </row>
    <row r="7" ht="42.75" customHeight="1">
      <c r="A7" s="16"/>
      <c r="B7" s="13" t="s">
        <v>16</v>
      </c>
      <c r="C7" s="14" t="s">
        <v>17</v>
      </c>
      <c r="D7" s="15">
        <v>943000.0</v>
      </c>
      <c r="E7" s="15">
        <v>709667.0</v>
      </c>
      <c r="F7" s="15">
        <v>593000.0</v>
      </c>
      <c r="G7" s="15">
        <v>523000.0</v>
      </c>
      <c r="H7" s="15">
        <v>476333.0</v>
      </c>
      <c r="I7" s="15">
        <v>474429.0</v>
      </c>
      <c r="J7" s="15">
        <v>445500.0</v>
      </c>
      <c r="K7" s="15">
        <v>521889.0</v>
      </c>
      <c r="L7" s="15">
        <v>494000.0</v>
      </c>
      <c r="M7" s="15">
        <v>471182.0</v>
      </c>
      <c r="N7" s="15">
        <v>452167.0</v>
      </c>
      <c r="O7" s="15">
        <v>453000.0</v>
      </c>
      <c r="P7" s="15">
        <v>438000.0</v>
      </c>
      <c r="Q7" s="15">
        <v>425000.0</v>
      </c>
      <c r="R7" s="15">
        <v>413625.0</v>
      </c>
      <c r="S7" s="15">
        <v>404765.0</v>
      </c>
      <c r="T7" s="15">
        <v>395778.0</v>
      </c>
      <c r="U7" s="15">
        <v>387737.0</v>
      </c>
      <c r="V7" s="15">
        <v>380500.0</v>
      </c>
      <c r="W7" s="15">
        <v>373952.0</v>
      </c>
      <c r="X7" s="15">
        <v>368000.0</v>
      </c>
      <c r="Y7" s="15">
        <v>362565.0</v>
      </c>
      <c r="Z7" s="15">
        <v>357583.0</v>
      </c>
      <c r="AA7" s="15">
        <v>353000.0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9"/>
      <c r="AS7" s="15">
        <v>200000.0</v>
      </c>
    </row>
    <row r="8" ht="42.75" customHeight="1">
      <c r="A8" s="16"/>
      <c r="B8" s="13" t="s">
        <v>18</v>
      </c>
      <c r="C8" s="14" t="s">
        <v>17</v>
      </c>
      <c r="D8" s="15">
        <f>sum(1397257+5000+40000)</f>
        <v>1442257</v>
      </c>
      <c r="E8" s="15">
        <f>sum(1048007+5000+40000)</f>
        <v>1093007</v>
      </c>
      <c r="F8" s="15">
        <f>sum(873382+5000+40000)</f>
        <v>918382</v>
      </c>
      <c r="G8" s="15">
        <f>sum(768607+5000+40000)</f>
        <v>813607</v>
      </c>
      <c r="H8" s="15">
        <f>sum(698757+5000+40000)</f>
        <v>743757</v>
      </c>
      <c r="I8" s="15">
        <f>sum(648864+5000+40000)</f>
        <v>693864</v>
      </c>
      <c r="J8" s="15">
        <f>sum(611444+5000+40000)</f>
        <v>656444</v>
      </c>
      <c r="K8" s="15">
        <f>sum(582340+5000+40000)</f>
        <v>627340</v>
      </c>
      <c r="L8" s="15">
        <f>sum(738357+5000+40000)</f>
        <v>783357</v>
      </c>
      <c r="M8" s="15">
        <f>sum(703007+5000+40000)</f>
        <v>748007</v>
      </c>
      <c r="N8" s="15">
        <f>sum(673548+5000+40000)</f>
        <v>718548</v>
      </c>
      <c r="O8" s="15">
        <f>sum(648622+5000+40000)</f>
        <v>693622</v>
      </c>
      <c r="P8" s="15">
        <f>sum(627257+5000+40000)</f>
        <v>672257</v>
      </c>
      <c r="Q8" s="15">
        <f>sum(608740+5000+40000)</f>
        <v>653740</v>
      </c>
      <c r="R8" s="15">
        <f>sum(592538+5000+40000)</f>
        <v>637538</v>
      </c>
      <c r="S8" s="15">
        <f>sum(610271+5000+40000)</f>
        <v>655271</v>
      </c>
      <c r="T8" s="15">
        <f>sum(595784+5000+40000)</f>
        <v>640784</v>
      </c>
      <c r="U8" s="15">
        <f>sum(582822+5000+40000)</f>
        <v>627822</v>
      </c>
      <c r="V8" s="15">
        <f>sum(571157+5000+40000)</f>
        <v>616157</v>
      </c>
      <c r="W8" s="15">
        <f>sum(560602+5000+40000)</f>
        <v>605602</v>
      </c>
      <c r="X8" s="15">
        <f>sum(551007+5000+40000)</f>
        <v>596007</v>
      </c>
      <c r="Y8" s="15">
        <f>sum(542246+5000+40000)</f>
        <v>587246</v>
      </c>
      <c r="Z8" s="15">
        <f>sum(534215+5000+40000)</f>
        <v>579215</v>
      </c>
      <c r="AA8" s="15">
        <f>sum(526827+5000+40000)</f>
        <v>571827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5">
        <v>160000.0</v>
      </c>
    </row>
    <row r="9" ht="42.75" customHeight="1">
      <c r="A9" s="16"/>
      <c r="B9" s="13" t="s">
        <v>19</v>
      </c>
      <c r="C9" s="14" t="s">
        <v>20</v>
      </c>
      <c r="D9" s="15">
        <f t="shared" ref="D9:J9" si="1">D8+60000+60000</f>
        <v>1562257</v>
      </c>
      <c r="E9" s="15">
        <f t="shared" si="1"/>
        <v>1213007</v>
      </c>
      <c r="F9" s="15">
        <f t="shared" si="1"/>
        <v>1038382</v>
      </c>
      <c r="G9" s="15">
        <f t="shared" si="1"/>
        <v>933607</v>
      </c>
      <c r="H9" s="15">
        <f t="shared" si="1"/>
        <v>863757</v>
      </c>
      <c r="I9" s="15">
        <f t="shared" si="1"/>
        <v>813864</v>
      </c>
      <c r="J9" s="15">
        <f t="shared" si="1"/>
        <v>776444</v>
      </c>
      <c r="K9" s="15">
        <v>910889.0</v>
      </c>
      <c r="L9" s="15">
        <f t="shared" ref="L9:AA9" si="2">L8+60000+60000</f>
        <v>903357</v>
      </c>
      <c r="M9" s="15">
        <f t="shared" si="2"/>
        <v>868007</v>
      </c>
      <c r="N9" s="15">
        <f t="shared" si="2"/>
        <v>838548</v>
      </c>
      <c r="O9" s="15">
        <f t="shared" si="2"/>
        <v>813622</v>
      </c>
      <c r="P9" s="15">
        <f t="shared" si="2"/>
        <v>792257</v>
      </c>
      <c r="Q9" s="15">
        <f t="shared" si="2"/>
        <v>773740</v>
      </c>
      <c r="R9" s="15">
        <f t="shared" si="2"/>
        <v>757538</v>
      </c>
      <c r="S9" s="15">
        <f t="shared" si="2"/>
        <v>775271</v>
      </c>
      <c r="T9" s="15">
        <f t="shared" si="2"/>
        <v>760784</v>
      </c>
      <c r="U9" s="15">
        <f t="shared" si="2"/>
        <v>747822</v>
      </c>
      <c r="V9" s="15">
        <f t="shared" si="2"/>
        <v>736157</v>
      </c>
      <c r="W9" s="15">
        <f t="shared" si="2"/>
        <v>725602</v>
      </c>
      <c r="X9" s="15">
        <f t="shared" si="2"/>
        <v>716007</v>
      </c>
      <c r="Y9" s="15">
        <f t="shared" si="2"/>
        <v>707246</v>
      </c>
      <c r="Z9" s="15">
        <f t="shared" si="2"/>
        <v>699215</v>
      </c>
      <c r="AA9" s="15">
        <f t="shared" si="2"/>
        <v>691827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9"/>
      <c r="AS9" s="15">
        <v>220000.0</v>
      </c>
    </row>
    <row r="10" ht="42.75" customHeight="1">
      <c r="A10" s="20"/>
      <c r="B10" s="13" t="s">
        <v>21</v>
      </c>
      <c r="C10" s="14" t="s">
        <v>22</v>
      </c>
      <c r="D10" s="15">
        <v>1323000.0</v>
      </c>
      <c r="E10" s="15">
        <v>1023000.0</v>
      </c>
      <c r="F10" s="15">
        <v>873000.0</v>
      </c>
      <c r="G10" s="15">
        <v>783000.0</v>
      </c>
      <c r="H10" s="15">
        <v>723000.0</v>
      </c>
      <c r="I10" s="15">
        <v>711571.0</v>
      </c>
      <c r="J10" s="15">
        <v>675500.0</v>
      </c>
      <c r="K10" s="15">
        <v>842444.0</v>
      </c>
      <c r="L10" s="15">
        <v>798000.0</v>
      </c>
      <c r="M10" s="15">
        <v>761636.0</v>
      </c>
      <c r="N10" s="15">
        <v>731333.0</v>
      </c>
      <c r="O10" s="15">
        <v>722615.0</v>
      </c>
      <c r="P10" s="15">
        <v>699429.0</v>
      </c>
      <c r="Q10" s="15">
        <v>679333.0</v>
      </c>
      <c r="R10" s="15">
        <v>661750.0</v>
      </c>
      <c r="S10" s="15">
        <v>673882.0</v>
      </c>
      <c r="T10" s="15">
        <v>658556.0</v>
      </c>
      <c r="U10" s="15">
        <v>644842.0</v>
      </c>
      <c r="V10" s="15">
        <v>632500.0</v>
      </c>
      <c r="W10" s="15">
        <v>621333.0</v>
      </c>
      <c r="X10" s="15">
        <v>611182.0</v>
      </c>
      <c r="Y10" s="15">
        <v>601913.0</v>
      </c>
      <c r="Z10" s="15">
        <v>593417.0</v>
      </c>
      <c r="AA10" s="15">
        <v>585600.0</v>
      </c>
      <c r="AB10" s="21">
        <v>578385.0</v>
      </c>
      <c r="AC10" s="21">
        <v>571704.0</v>
      </c>
      <c r="AD10" s="21">
        <v>565500.0</v>
      </c>
      <c r="AE10" s="21">
        <v>559724.0</v>
      </c>
      <c r="AF10" s="21">
        <v>554333.0</v>
      </c>
      <c r="AG10" s="21">
        <v>549290.0</v>
      </c>
      <c r="AH10" s="21">
        <v>544563.0</v>
      </c>
      <c r="AI10" s="21">
        <v>540121.0</v>
      </c>
      <c r="AJ10" s="21">
        <v>535941.0</v>
      </c>
      <c r="AK10" s="21">
        <v>532000.0</v>
      </c>
      <c r="AL10" s="21">
        <v>528278.0</v>
      </c>
      <c r="AM10" s="21">
        <v>524757.0</v>
      </c>
      <c r="AN10" s="21">
        <v>521421.0</v>
      </c>
      <c r="AO10" s="21">
        <v>523897.0</v>
      </c>
      <c r="AP10" s="21">
        <v>520750.0</v>
      </c>
      <c r="AQ10" s="21">
        <v>517756.0</v>
      </c>
      <c r="AR10" s="21">
        <v>514905.0</v>
      </c>
      <c r="AS10" s="15">
        <v>180000.0</v>
      </c>
    </row>
    <row r="11" ht="42.75" customHeight="1">
      <c r="A11" s="20"/>
      <c r="B11" s="13" t="s">
        <v>23</v>
      </c>
      <c r="C11" s="14" t="s">
        <v>24</v>
      </c>
      <c r="D11" s="15">
        <f>Sum(778261+80000)</f>
        <v>858261</v>
      </c>
      <c r="E11" s="15">
        <v>681428.0</v>
      </c>
      <c r="F11" s="15">
        <v>593006.0</v>
      </c>
      <c r="G11" s="15">
        <v>539956.0</v>
      </c>
      <c r="H11" s="15">
        <v>504590.0</v>
      </c>
      <c r="I11" s="15">
        <v>513899.0</v>
      </c>
      <c r="J11" s="15">
        <v>490631.0</v>
      </c>
      <c r="K11" s="15">
        <v>472534.0</v>
      </c>
      <c r="L11" s="15">
        <v>581256.0</v>
      </c>
      <c r="M11" s="15">
        <v>558210.0</v>
      </c>
      <c r="N11" s="15">
        <v>539005.0</v>
      </c>
      <c r="O11" s="15">
        <v>522755.0</v>
      </c>
      <c r="P11" s="15">
        <v>508827.0</v>
      </c>
      <c r="Q11" s="15">
        <v>496755.0</v>
      </c>
      <c r="R11" s="15">
        <v>406193.0</v>
      </c>
      <c r="S11" s="15">
        <v>496218.0</v>
      </c>
      <c r="T11" s="15">
        <v>486918.0</v>
      </c>
      <c r="U11" s="15">
        <v>478540.0</v>
      </c>
      <c r="V11" s="15">
        <v>471001.0</v>
      </c>
      <c r="W11" s="15">
        <v>464180.0</v>
      </c>
      <c r="X11" s="15">
        <v>457978.0</v>
      </c>
      <c r="Y11" s="15">
        <v>452316.0</v>
      </c>
      <c r="Z11" s="15">
        <v>447126.0</v>
      </c>
      <c r="AA11" s="15">
        <v>442351.0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9"/>
      <c r="AS11" s="15">
        <v>160000.0</v>
      </c>
    </row>
    <row r="12" ht="42.75" customHeight="1">
      <c r="A12" s="16"/>
      <c r="B12" s="22" t="s">
        <v>25</v>
      </c>
      <c r="C12" s="14" t="s">
        <v>24</v>
      </c>
      <c r="D12" s="15">
        <v>1224774.0</v>
      </c>
      <c r="E12" s="15">
        <v>921440.0</v>
      </c>
      <c r="F12" s="15">
        <v>769774.0</v>
      </c>
      <c r="G12" s="15">
        <v>678774.0</v>
      </c>
      <c r="H12" s="15">
        <v>618107.0</v>
      </c>
      <c r="I12" s="15">
        <v>606293.0</v>
      </c>
      <c r="J12" s="15">
        <v>569864.0</v>
      </c>
      <c r="K12" s="15">
        <v>541531.0</v>
      </c>
      <c r="L12" s="15">
        <v>696645.0</v>
      </c>
      <c r="M12" s="15">
        <v>666645.0</v>
      </c>
      <c r="N12" s="15">
        <v>637364.0</v>
      </c>
      <c r="O12" s="15">
        <v>612557.0</v>
      </c>
      <c r="P12" s="15">
        <v>591293.0</v>
      </c>
      <c r="Q12" s="15">
        <v>572864.0</v>
      </c>
      <c r="R12" s="15">
        <v>556739.0</v>
      </c>
      <c r="S12" s="15">
        <v>576538.0</v>
      </c>
      <c r="T12" s="15">
        <v>561996.0</v>
      </c>
      <c r="U12" s="15">
        <v>548984.0</v>
      </c>
      <c r="V12" s="15">
        <v>537274.0</v>
      </c>
      <c r="W12" s="15">
        <v>526678.0</v>
      </c>
      <c r="X12" s="15">
        <v>517046.0</v>
      </c>
      <c r="Y12" s="15">
        <v>508252.0</v>
      </c>
      <c r="Z12" s="15">
        <v>500190.0</v>
      </c>
      <c r="AA12" s="15">
        <v>492774.0</v>
      </c>
      <c r="AB12" s="15">
        <v>485927.0</v>
      </c>
      <c r="AC12" s="15">
        <v>479588.0</v>
      </c>
      <c r="AD12" s="15">
        <v>473702.0</v>
      </c>
      <c r="AE12" s="15">
        <v>468222.0</v>
      </c>
      <c r="AF12" s="15">
        <v>463107.0</v>
      </c>
      <c r="AG12" s="15">
        <v>458322.0</v>
      </c>
      <c r="AH12" s="15">
        <v>453836.0</v>
      </c>
      <c r="AI12" s="15">
        <v>449622.0</v>
      </c>
      <c r="AJ12" s="15">
        <v>445656.0</v>
      </c>
      <c r="AK12" s="15">
        <v>441916.0</v>
      </c>
      <c r="AL12" s="15">
        <v>438385.0</v>
      </c>
      <c r="AM12" s="15">
        <v>435044.0</v>
      </c>
      <c r="AN12" s="15">
        <v>431879.0</v>
      </c>
      <c r="AO12" s="15">
        <v>428876.0</v>
      </c>
      <c r="AP12" s="15">
        <v>426024.0</v>
      </c>
      <c r="AQ12" s="15">
        <v>423310.0</v>
      </c>
      <c r="AR12" s="15">
        <v>420726.0</v>
      </c>
      <c r="AS12" s="15">
        <v>240000.0</v>
      </c>
    </row>
    <row r="13" ht="42.75" customHeight="1">
      <c r="A13" s="23"/>
      <c r="B13" s="22" t="s">
        <v>26</v>
      </c>
      <c r="C13" s="14" t="s">
        <v>27</v>
      </c>
      <c r="D13" s="24">
        <v>1769500.0</v>
      </c>
      <c r="E13" s="24">
        <v>1388667.0</v>
      </c>
      <c r="F13" s="24">
        <v>1198250.0</v>
      </c>
      <c r="G13" s="24">
        <v>1084000.0</v>
      </c>
      <c r="H13" s="24">
        <v>1062833.0</v>
      </c>
      <c r="I13" s="24">
        <v>1000571.0</v>
      </c>
      <c r="J13" s="24">
        <v>953875.0</v>
      </c>
      <c r="K13" s="24">
        <v>1138111.0</v>
      </c>
      <c r="L13" s="24">
        <v>1087000.0</v>
      </c>
      <c r="M13" s="24">
        <v>1045182.0</v>
      </c>
      <c r="N13" s="24">
        <v>1010333.0</v>
      </c>
      <c r="O13" s="24">
        <v>1006231.0</v>
      </c>
      <c r="P13" s="24">
        <v>979143.0</v>
      </c>
      <c r="Q13" s="24">
        <v>955667.0</v>
      </c>
      <c r="R13" s="24">
        <v>935125.0</v>
      </c>
      <c r="S13" s="24">
        <v>977000.0</v>
      </c>
      <c r="T13" s="24">
        <v>957556.0</v>
      </c>
      <c r="U13" s="24">
        <v>940158.0</v>
      </c>
      <c r="V13" s="24">
        <v>924500.0</v>
      </c>
      <c r="W13" s="24">
        <v>910333.0</v>
      </c>
      <c r="X13" s="24">
        <v>897455.0</v>
      </c>
      <c r="Y13" s="24">
        <v>885696.0</v>
      </c>
      <c r="Z13" s="24">
        <v>874917.0</v>
      </c>
      <c r="AA13" s="24">
        <v>865000.0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9"/>
      <c r="AS13" s="24">
        <v>380000.0</v>
      </c>
    </row>
    <row r="14" ht="42.75" customHeight="1">
      <c r="A14" s="23"/>
      <c r="B14" s="25" t="s">
        <v>28</v>
      </c>
      <c r="C14" s="26" t="s">
        <v>29</v>
      </c>
      <c r="D14" s="24">
        <v>1181500.0</v>
      </c>
      <c r="E14" s="24">
        <v>897333.0</v>
      </c>
      <c r="F14" s="24">
        <v>755250.0</v>
      </c>
      <c r="G14" s="24">
        <v>670000.0</v>
      </c>
      <c r="H14" s="24">
        <v>613167.0</v>
      </c>
      <c r="I14" s="24">
        <v>604000.0</v>
      </c>
      <c r="J14" s="24">
        <v>569625.0</v>
      </c>
      <c r="K14" s="24">
        <v>715111.0</v>
      </c>
      <c r="L14" s="24">
        <v>674000.0</v>
      </c>
      <c r="M14" s="24">
        <v>640364.0</v>
      </c>
      <c r="N14" s="24">
        <v>612333.0</v>
      </c>
      <c r="O14" s="24">
        <v>605538.0</v>
      </c>
      <c r="P14" s="24">
        <v>584000.0</v>
      </c>
      <c r="Q14" s="24">
        <v>565333.0</v>
      </c>
      <c r="R14" s="24">
        <v>549000.0</v>
      </c>
      <c r="S14" s="24">
        <v>521647.0</v>
      </c>
      <c r="T14" s="24">
        <v>509556.0</v>
      </c>
      <c r="U14" s="24">
        <v>498737.0</v>
      </c>
      <c r="V14" s="24">
        <v>489000.0</v>
      </c>
      <c r="W14" s="24">
        <v>480190.0</v>
      </c>
      <c r="X14" s="24">
        <v>472182.0</v>
      </c>
      <c r="Y14" s="24">
        <v>464870.0</v>
      </c>
      <c r="Z14" s="24">
        <v>458167.0</v>
      </c>
      <c r="AA14" s="24">
        <v>452000.0</v>
      </c>
      <c r="AB14" s="24">
        <v>446308.0</v>
      </c>
      <c r="AC14" s="24">
        <v>441037.0</v>
      </c>
      <c r="AD14" s="24">
        <v>436143.0</v>
      </c>
      <c r="AE14" s="24">
        <v>431586.0</v>
      </c>
      <c r="AF14" s="24">
        <v>427333.0</v>
      </c>
      <c r="AG14" s="24">
        <v>423355.0</v>
      </c>
      <c r="AH14" s="24">
        <v>419625.0</v>
      </c>
      <c r="AI14" s="24">
        <v>416121.0</v>
      </c>
      <c r="AJ14" s="24">
        <v>412824.0</v>
      </c>
      <c r="AK14" s="24">
        <v>409714.0</v>
      </c>
      <c r="AL14" s="24">
        <v>406778.0</v>
      </c>
      <c r="AM14" s="24">
        <v>404000.0</v>
      </c>
      <c r="AN14" s="24">
        <v>401368.0</v>
      </c>
      <c r="AO14" s="24">
        <v>404513.0</v>
      </c>
      <c r="AP14" s="24">
        <v>402000.0</v>
      </c>
      <c r="AQ14" s="24">
        <v>399610.0</v>
      </c>
      <c r="AR14" s="24">
        <v>397333.0</v>
      </c>
      <c r="AS14" s="15">
        <v>220000.0</v>
      </c>
    </row>
    <row r="15" ht="42.75" customHeight="1"/>
    <row r="16" ht="42.75" customHeight="1"/>
    <row r="17" ht="42.75" customHeight="1"/>
    <row r="18" ht="42.75" customHeight="1"/>
    <row r="19" ht="42.75" customHeight="1"/>
    <row r="20" ht="42.75" customHeight="1"/>
    <row r="21" ht="42.75" customHeight="1"/>
    <row r="22" ht="42.75" customHeight="1"/>
    <row r="23" ht="42.75" customHeight="1"/>
    <row r="24" ht="42.75" customHeight="1"/>
    <row r="25" ht="42.75" customHeight="1"/>
    <row r="26" ht="42.75" customHeight="1"/>
    <row r="27" ht="42.75" customHeight="1"/>
    <row r="28" ht="42.75" customHeight="1"/>
    <row r="29" ht="42.75" customHeight="1"/>
    <row r="30" ht="42.75" customHeight="1"/>
    <row r="31" ht="42.75" customHeight="1"/>
    <row r="32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  <row r="54" ht="42.75" customHeight="1"/>
    <row r="55" ht="42.75" customHeight="1"/>
    <row r="56" ht="42.75" customHeight="1"/>
    <row r="57" ht="42.75" customHeight="1"/>
    <row r="58" ht="42.75" customHeight="1"/>
    <row r="59" ht="42.75" customHeight="1"/>
    <row r="60" ht="42.75" customHeight="1"/>
    <row r="61" ht="42.75" customHeight="1"/>
    <row r="62" ht="42.75" customHeight="1"/>
    <row r="63" ht="42.75" customHeight="1"/>
    <row r="64" ht="42.75" customHeight="1"/>
    <row r="65" ht="42.75" customHeight="1"/>
    <row r="66" ht="42.75" customHeight="1"/>
    <row r="67" ht="42.75" customHeight="1"/>
    <row r="68" ht="42.75" customHeight="1"/>
    <row r="69" ht="42.75" customHeight="1"/>
    <row r="70" ht="42.75" customHeight="1"/>
    <row r="71" ht="42.75" customHeight="1"/>
    <row r="72" ht="42.75" customHeight="1"/>
    <row r="73" ht="42.75" customHeight="1"/>
    <row r="74" ht="42.75" customHeight="1"/>
    <row r="75" ht="42.75" customHeight="1"/>
    <row r="76" ht="42.75" customHeight="1"/>
    <row r="77" ht="42.75" customHeight="1"/>
    <row r="78" ht="42.75" customHeight="1"/>
    <row r="79" ht="42.75" customHeight="1"/>
    <row r="80" ht="42.75" customHeight="1"/>
    <row r="81" ht="42.75" customHeight="1"/>
    <row r="82" ht="42.75" customHeight="1"/>
    <row r="83" ht="42.75" customHeight="1"/>
    <row r="84" ht="42.75" customHeight="1"/>
    <row r="85" ht="42.75" customHeight="1"/>
    <row r="86" ht="42.75" customHeight="1"/>
    <row r="87" ht="42.75" customHeight="1"/>
    <row r="88" ht="42.75" customHeight="1"/>
    <row r="89" ht="42.75" customHeight="1"/>
    <row r="90" ht="42.75" customHeight="1"/>
    <row r="91" ht="42.75" customHeight="1"/>
    <row r="92" ht="42.75" customHeight="1"/>
    <row r="93" ht="42.75" customHeight="1"/>
    <row r="94" ht="42.75" customHeight="1"/>
    <row r="95" ht="42.75" customHeight="1"/>
    <row r="96" ht="42.75" customHeight="1"/>
    <row r="97" ht="42.75" customHeight="1"/>
    <row r="98" ht="42.75" customHeight="1"/>
    <row r="99" ht="42.75" customHeight="1"/>
    <row r="100" ht="42.75" customHeight="1"/>
    <row r="101" ht="42.75" customHeight="1"/>
    <row r="102" ht="42.75" customHeight="1"/>
    <row r="103" ht="42.75" customHeight="1"/>
    <row r="104" ht="42.75" customHeight="1"/>
    <row r="105" ht="42.75" customHeight="1"/>
    <row r="106" ht="42.75" customHeight="1"/>
    <row r="107" ht="42.75" customHeight="1"/>
    <row r="108" ht="42.75" customHeight="1"/>
    <row r="109" ht="42.75" customHeight="1"/>
    <row r="110" ht="42.75" customHeight="1"/>
    <row r="111" ht="42.75" customHeight="1"/>
    <row r="112" ht="42.75" customHeight="1"/>
    <row r="113" ht="42.75" customHeight="1"/>
    <row r="114" ht="42.75" customHeight="1"/>
    <row r="115" ht="42.75" customHeight="1"/>
    <row r="116" ht="42.75" customHeight="1"/>
    <row r="117" ht="42.75" customHeight="1"/>
    <row r="118" ht="42.75" customHeight="1"/>
    <row r="119" ht="42.75" customHeight="1"/>
    <row r="120" ht="42.75" customHeight="1"/>
    <row r="121" ht="42.75" customHeight="1"/>
    <row r="122" ht="42.75" customHeight="1"/>
    <row r="123" ht="42.75" customHeight="1"/>
    <row r="124" ht="42.75" customHeight="1"/>
    <row r="125" ht="42.75" customHeight="1"/>
    <row r="126" ht="42.75" customHeight="1"/>
    <row r="127" ht="42.75" customHeight="1"/>
    <row r="128" ht="42.75" customHeight="1"/>
    <row r="129" ht="42.75" customHeight="1"/>
    <row r="130" ht="42.75" customHeight="1"/>
    <row r="131" ht="42.75" customHeight="1"/>
    <row r="132" ht="42.75" customHeight="1"/>
    <row r="133" ht="42.75" customHeight="1"/>
    <row r="134" ht="42.75" customHeight="1"/>
    <row r="135" ht="42.75" customHeight="1"/>
    <row r="136" ht="42.75" customHeight="1"/>
    <row r="137" ht="42.75" customHeight="1"/>
    <row r="138" ht="42.75" customHeight="1"/>
    <row r="139" ht="42.75" customHeight="1"/>
    <row r="140" ht="42.75" customHeight="1"/>
    <row r="141" ht="42.75" customHeight="1"/>
    <row r="142" ht="42.75" customHeight="1"/>
    <row r="143" ht="42.75" customHeight="1"/>
    <row r="144" ht="42.75" customHeight="1"/>
    <row r="145" ht="42.75" customHeight="1"/>
    <row r="146" ht="42.75" customHeight="1"/>
    <row r="147" ht="42.75" customHeight="1"/>
    <row r="148" ht="42.75" customHeight="1"/>
    <row r="149" ht="42.75" customHeight="1"/>
    <row r="150" ht="42.75" customHeight="1"/>
    <row r="151" ht="42.75" customHeight="1"/>
    <row r="152" ht="42.75" customHeight="1"/>
    <row r="153" ht="42.75" customHeight="1"/>
    <row r="154" ht="42.75" customHeight="1"/>
    <row r="155" ht="42.75" customHeight="1"/>
    <row r="156" ht="42.75" customHeight="1"/>
    <row r="157" ht="42.75" customHeight="1"/>
    <row r="158" ht="42.75" customHeight="1"/>
    <row r="159" ht="42.75" customHeight="1"/>
    <row r="160" ht="42.75" customHeight="1"/>
    <row r="161" ht="42.75" customHeight="1"/>
    <row r="162" ht="42.75" customHeight="1"/>
    <row r="163" ht="42.75" customHeight="1"/>
    <row r="164" ht="42.75" customHeight="1"/>
    <row r="165" ht="42.75" customHeight="1"/>
    <row r="166" ht="42.75" customHeight="1"/>
    <row r="167" ht="42.75" customHeight="1"/>
    <row r="168" ht="42.75" customHeight="1"/>
    <row r="169" ht="42.75" customHeight="1"/>
    <row r="170" ht="42.75" customHeight="1"/>
    <row r="171" ht="42.75" customHeight="1"/>
    <row r="172" ht="42.75" customHeight="1"/>
    <row r="173" ht="42.75" customHeight="1"/>
    <row r="174" ht="42.75" customHeight="1"/>
    <row r="175" ht="42.75" customHeight="1"/>
    <row r="176" ht="42.75" customHeight="1"/>
    <row r="177" ht="42.75" customHeight="1"/>
    <row r="178" ht="42.75" customHeight="1"/>
    <row r="179" ht="42.75" customHeight="1"/>
    <row r="180" ht="42.75" customHeight="1"/>
    <row r="181" ht="42.75" customHeight="1"/>
    <row r="182" ht="42.75" customHeight="1"/>
    <row r="183" ht="42.75" customHeight="1"/>
    <row r="184" ht="42.75" customHeight="1"/>
    <row r="185" ht="42.75" customHeight="1"/>
    <row r="186" ht="42.75" customHeight="1"/>
    <row r="187" ht="42.75" customHeight="1"/>
    <row r="188" ht="42.75" customHeight="1"/>
    <row r="189" ht="42.75" customHeight="1"/>
    <row r="190" ht="42.75" customHeight="1"/>
    <row r="191" ht="42.75" customHeight="1"/>
    <row r="192" ht="42.75" customHeight="1"/>
    <row r="193" ht="42.75" customHeight="1"/>
    <row r="194" ht="42.75" customHeight="1"/>
    <row r="195" ht="42.75" customHeight="1"/>
    <row r="196" ht="42.75" customHeight="1"/>
    <row r="197" ht="42.75" customHeight="1"/>
    <row r="198" ht="42.75" customHeight="1"/>
    <row r="199" ht="42.75" customHeight="1"/>
    <row r="200" ht="42.75" customHeight="1"/>
    <row r="201" ht="42.75" customHeight="1"/>
    <row r="202" ht="42.75" customHeight="1"/>
    <row r="203" ht="42.75" customHeight="1"/>
    <row r="204" ht="42.75" customHeight="1"/>
    <row r="205" ht="42.75" customHeight="1"/>
    <row r="206" ht="42.75" customHeight="1"/>
    <row r="207" ht="42.75" customHeight="1"/>
    <row r="208" ht="42.75" customHeight="1"/>
    <row r="209" ht="42.75" customHeight="1"/>
    <row r="210" ht="42.75" customHeight="1"/>
    <row r="211" ht="42.75" customHeight="1"/>
    <row r="212" ht="42.75" customHeight="1"/>
    <row r="213" ht="42.75" customHeight="1"/>
    <row r="214" ht="42.75" customHeight="1"/>
    <row r="215" ht="42.75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42.75" customHeight="1"/>
    <row r="223" ht="42.75" customHeight="1"/>
    <row r="224" ht="42.75" customHeight="1"/>
    <row r="225" ht="42.75" customHeight="1"/>
    <row r="226" ht="42.75" customHeight="1"/>
    <row r="227" ht="42.75" customHeight="1"/>
    <row r="228" ht="42.75" customHeight="1"/>
    <row r="229" ht="42.75" customHeight="1"/>
    <row r="230" ht="42.75" customHeight="1"/>
    <row r="231" ht="42.75" customHeight="1"/>
    <row r="232" ht="42.75" customHeight="1"/>
    <row r="233" ht="42.75" customHeight="1"/>
    <row r="234" ht="42.75" customHeight="1"/>
    <row r="235" ht="42.75" customHeight="1"/>
    <row r="236" ht="42.75" customHeight="1"/>
    <row r="237" ht="42.75" customHeight="1"/>
    <row r="238" ht="42.75" customHeight="1"/>
    <row r="239" ht="42.75" customHeight="1"/>
    <row r="240" ht="42.75" customHeight="1"/>
    <row r="241" ht="42.75" customHeight="1"/>
    <row r="242" ht="42.75" customHeight="1"/>
    <row r="243" ht="42.75" customHeight="1"/>
    <row r="244" ht="42.75" customHeight="1"/>
    <row r="245" ht="42.75" customHeight="1"/>
    <row r="246" ht="42.75" customHeight="1"/>
    <row r="247" ht="42.75" customHeight="1"/>
    <row r="248" ht="42.75" customHeight="1"/>
    <row r="249" ht="42.75" customHeight="1"/>
    <row r="250" ht="42.75" customHeight="1"/>
    <row r="251" ht="42.75" customHeight="1"/>
    <row r="252" ht="42.75" customHeight="1"/>
    <row r="253" ht="42.75" customHeight="1"/>
    <row r="254" ht="42.75" customHeight="1"/>
    <row r="255" ht="42.75" customHeight="1"/>
    <row r="256" ht="42.75" customHeight="1"/>
    <row r="257" ht="42.75" customHeight="1"/>
    <row r="258" ht="42.75" customHeight="1"/>
    <row r="259" ht="42.75" customHeight="1"/>
    <row r="260" ht="42.75" customHeight="1"/>
    <row r="261" ht="42.75" customHeight="1"/>
    <row r="262" ht="42.75" customHeight="1"/>
    <row r="263" ht="42.75" customHeight="1"/>
    <row r="264" ht="42.75" customHeight="1"/>
    <row r="265" ht="42.75" customHeight="1"/>
    <row r="266" ht="42.75" customHeight="1"/>
    <row r="267" ht="42.75" customHeight="1"/>
    <row r="268" ht="42.75" customHeight="1"/>
    <row r="269" ht="42.75" customHeight="1"/>
    <row r="270" ht="42.75" customHeight="1"/>
    <row r="271" ht="42.75" customHeight="1"/>
    <row r="272" ht="42.75" customHeight="1"/>
    <row r="273" ht="42.75" customHeight="1"/>
    <row r="274" ht="42.75" customHeight="1"/>
    <row r="275" ht="42.75" customHeight="1"/>
    <row r="276" ht="42.75" customHeight="1"/>
    <row r="277" ht="42.75" customHeight="1"/>
    <row r="278" ht="42.75" customHeight="1"/>
    <row r="279" ht="42.75" customHeight="1"/>
    <row r="280" ht="42.75" customHeight="1"/>
    <row r="281" ht="42.75" customHeight="1"/>
    <row r="282" ht="42.75" customHeight="1"/>
    <row r="283" ht="42.75" customHeight="1"/>
    <row r="284" ht="42.75" customHeight="1"/>
    <row r="285" ht="42.75" customHeight="1"/>
    <row r="286" ht="42.75" customHeight="1"/>
    <row r="287" ht="42.75" customHeight="1"/>
    <row r="288" ht="42.75" customHeight="1"/>
    <row r="289" ht="42.75" customHeight="1"/>
    <row r="290" ht="42.75" customHeight="1"/>
    <row r="291" ht="42.75" customHeight="1"/>
    <row r="292" ht="42.75" customHeight="1"/>
    <row r="293" ht="42.75" customHeight="1"/>
    <row r="294" ht="42.75" customHeight="1"/>
    <row r="295" ht="42.75" customHeight="1"/>
    <row r="296" ht="42.75" customHeight="1"/>
    <row r="297" ht="42.75" customHeight="1"/>
    <row r="298" ht="42.75" customHeight="1"/>
    <row r="299" ht="42.75" customHeight="1"/>
    <row r="300" ht="42.75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42.75" customHeight="1"/>
    <row r="376" ht="42.75" customHeight="1"/>
    <row r="377" ht="42.75" customHeight="1"/>
    <row r="378" ht="42.75" customHeight="1"/>
    <row r="379" ht="42.75" customHeight="1"/>
    <row r="380" ht="42.75" customHeight="1"/>
    <row r="381" ht="42.75" customHeight="1"/>
    <row r="382" ht="42.75" customHeight="1"/>
    <row r="383" ht="42.75" customHeight="1"/>
    <row r="384" ht="42.75" customHeight="1"/>
    <row r="385" ht="42.75" customHeight="1"/>
    <row r="386" ht="42.75" customHeight="1"/>
    <row r="387" ht="42.75" customHeight="1"/>
    <row r="388" ht="42.75" customHeight="1"/>
    <row r="389" ht="42.75" customHeight="1"/>
    <row r="390" ht="42.75" customHeight="1"/>
    <row r="391" ht="42.75" customHeight="1"/>
    <row r="392" ht="42.75" customHeight="1"/>
    <row r="393" ht="42.75" customHeight="1"/>
    <row r="394" ht="42.75" customHeight="1"/>
    <row r="395" ht="42.75" customHeight="1"/>
    <row r="396" ht="42.75" customHeight="1"/>
    <row r="397" ht="42.75" customHeight="1"/>
    <row r="398" ht="42.75" customHeight="1"/>
    <row r="399" ht="42.75" customHeight="1"/>
    <row r="400" ht="42.75" customHeight="1"/>
    <row r="401" ht="42.75" customHeight="1"/>
    <row r="402" ht="42.75" customHeight="1"/>
    <row r="403" ht="42.75" customHeight="1"/>
    <row r="404" ht="42.75" customHeight="1"/>
    <row r="405" ht="42.75" customHeight="1"/>
    <row r="406" ht="42.75" customHeight="1"/>
    <row r="407" ht="42.75" customHeight="1"/>
    <row r="408" ht="42.75" customHeight="1"/>
    <row r="409" ht="42.75" customHeight="1"/>
    <row r="410" ht="42.75" customHeight="1"/>
    <row r="411" ht="42.75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42.75" customHeight="1"/>
    <row r="450" ht="42.75" customHeight="1"/>
    <row r="451" ht="42.75" customHeight="1"/>
    <row r="452" ht="42.75" customHeight="1"/>
    <row r="453" ht="42.75" customHeight="1"/>
    <row r="454" ht="42.75" customHeight="1"/>
    <row r="455" ht="42.75" customHeight="1"/>
    <row r="456" ht="42.75" customHeight="1"/>
    <row r="457" ht="42.75" customHeight="1"/>
    <row r="458" ht="42.75" customHeight="1"/>
    <row r="459" ht="42.75" customHeight="1"/>
    <row r="460" ht="42.75" customHeight="1"/>
    <row r="461" ht="42.75" customHeight="1"/>
    <row r="462" ht="42.75" customHeight="1"/>
    <row r="463" ht="42.75" customHeight="1"/>
    <row r="464" ht="42.75" customHeight="1"/>
    <row r="465" ht="42.75" customHeight="1"/>
    <row r="466" ht="42.75" customHeight="1"/>
    <row r="467" ht="42.75" customHeight="1"/>
    <row r="468" ht="42.75" customHeight="1"/>
    <row r="469" ht="42.75" customHeight="1"/>
    <row r="470" ht="42.75" customHeight="1"/>
    <row r="471" ht="42.75" customHeight="1"/>
    <row r="472" ht="42.75" customHeight="1"/>
    <row r="473" ht="42.75" customHeight="1"/>
    <row r="474" ht="42.75" customHeight="1"/>
    <row r="475" ht="42.75" customHeight="1"/>
    <row r="476" ht="42.75" customHeight="1"/>
    <row r="477" ht="42.75" customHeight="1"/>
    <row r="478" ht="42.75" customHeight="1"/>
    <row r="479" ht="42.75" customHeight="1"/>
    <row r="480" ht="42.75" customHeight="1"/>
    <row r="481" ht="42.75" customHeight="1"/>
    <row r="482" ht="42.75" customHeight="1"/>
    <row r="483" ht="42.75" customHeight="1"/>
    <row r="484" ht="42.75" customHeight="1"/>
    <row r="485" ht="42.75" customHeight="1"/>
    <row r="486" ht="42.75" customHeight="1"/>
    <row r="487" ht="42.75" customHeight="1"/>
    <row r="488" ht="42.75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42.75" customHeight="1"/>
    <row r="496" ht="42.75" customHeight="1"/>
    <row r="497" ht="42.75" customHeight="1"/>
    <row r="498" ht="42.75" customHeight="1"/>
    <row r="499" ht="42.75" customHeight="1"/>
    <row r="500" ht="42.75" customHeight="1"/>
    <row r="501" ht="42.75" customHeight="1"/>
    <row r="502" ht="42.75" customHeight="1"/>
    <row r="503" ht="42.75" customHeight="1"/>
    <row r="504" ht="42.75" customHeight="1"/>
    <row r="505" ht="42.75" customHeight="1"/>
    <row r="506" ht="42.75" customHeight="1"/>
    <row r="507" ht="42.75" customHeight="1"/>
    <row r="508" ht="42.75" customHeight="1"/>
    <row r="509" ht="42.75" customHeight="1"/>
    <row r="510" ht="42.75" customHeight="1"/>
    <row r="511" ht="42.75" customHeight="1"/>
    <row r="512" ht="42.75" customHeight="1"/>
    <row r="513" ht="42.75" customHeight="1"/>
    <row r="514" ht="42.75" customHeight="1"/>
    <row r="515" ht="42.75" customHeight="1"/>
    <row r="516" ht="42.75" customHeight="1"/>
    <row r="517" ht="42.75" customHeight="1"/>
    <row r="518" ht="42.75" customHeight="1"/>
    <row r="519" ht="42.75" customHeight="1"/>
    <row r="520" ht="42.75" customHeight="1"/>
    <row r="521" ht="42.75" customHeight="1"/>
    <row r="522" ht="42.75" customHeight="1"/>
    <row r="523" ht="42.75" customHeight="1"/>
    <row r="524" ht="42.75" customHeight="1"/>
    <row r="525" ht="42.75" customHeight="1"/>
    <row r="526" ht="42.75" customHeight="1"/>
    <row r="527" ht="42.75" customHeight="1"/>
    <row r="528" ht="42.75" customHeight="1"/>
    <row r="529" ht="42.75" customHeight="1"/>
    <row r="530" ht="42.75" customHeight="1"/>
    <row r="531" ht="42.75" customHeight="1"/>
    <row r="532" ht="42.75" customHeight="1"/>
    <row r="533" ht="42.75" customHeight="1"/>
    <row r="534" ht="42.75" customHeight="1"/>
    <row r="535" ht="42.75" customHeight="1"/>
    <row r="536" ht="42.75" customHeight="1"/>
    <row r="537" ht="42.75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42.75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42.75" customHeight="1"/>
    <row r="552" ht="42.75" customHeight="1"/>
    <row r="553" ht="42.75" customHeight="1"/>
    <row r="554" ht="42.75" customHeight="1"/>
    <row r="555" ht="42.75" customHeight="1"/>
    <row r="556" ht="42.75" customHeight="1"/>
    <row r="557" ht="42.75" customHeight="1"/>
    <row r="558" ht="42.75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42.75" customHeight="1"/>
    <row r="566" ht="42.75" customHeight="1"/>
    <row r="567" ht="42.75" customHeight="1"/>
    <row r="568" ht="42.75" customHeight="1"/>
    <row r="569" ht="42.75" customHeight="1"/>
    <row r="570" ht="42.75" customHeight="1"/>
    <row r="571" ht="42.75" customHeight="1"/>
    <row r="572" ht="42.75" customHeight="1"/>
    <row r="573" ht="42.75" customHeight="1"/>
    <row r="574" ht="42.75" customHeight="1"/>
    <row r="575" ht="42.75" customHeight="1"/>
    <row r="576" ht="42.75" customHeight="1"/>
    <row r="577" ht="42.75" customHeight="1"/>
    <row r="578" ht="42.75" customHeight="1"/>
    <row r="579" ht="42.75" customHeight="1"/>
    <row r="580" ht="42.75" customHeight="1"/>
    <row r="581" ht="42.75" customHeight="1"/>
    <row r="582" ht="42.75" customHeight="1"/>
    <row r="583" ht="42.75" customHeight="1"/>
    <row r="584" ht="42.75" customHeight="1"/>
    <row r="585" ht="42.75" customHeight="1"/>
    <row r="586" ht="42.75" customHeight="1"/>
    <row r="587" ht="42.75" customHeight="1"/>
    <row r="588" ht="42.75" customHeight="1"/>
    <row r="589" ht="42.75" customHeight="1"/>
    <row r="590" ht="42.75" customHeight="1"/>
    <row r="591" ht="42.75" customHeight="1"/>
    <row r="592" ht="42.75" customHeight="1"/>
    <row r="593" ht="42.75" customHeight="1"/>
    <row r="594" ht="42.75" customHeight="1"/>
    <row r="595" ht="42.75" customHeight="1"/>
    <row r="596" ht="42.75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42.75" customHeight="1"/>
    <row r="713" ht="42.75" customHeight="1"/>
    <row r="714" ht="42.75" customHeight="1"/>
    <row r="715" ht="42.75" customHeight="1"/>
    <row r="716" ht="42.75" customHeight="1"/>
    <row r="717" ht="42.75" customHeight="1"/>
    <row r="718" ht="42.75" customHeight="1"/>
    <row r="719" ht="42.75" customHeight="1"/>
    <row r="720" ht="42.75" customHeight="1"/>
    <row r="721" ht="42.75" customHeight="1"/>
    <row r="722" ht="42.75" customHeight="1"/>
    <row r="723" ht="42.75" customHeight="1"/>
    <row r="724" ht="42.75" customHeight="1"/>
    <row r="725" ht="42.75" customHeight="1"/>
    <row r="726" ht="42.75" customHeight="1"/>
    <row r="727" ht="42.75" customHeight="1"/>
    <row r="728" ht="42.75" customHeight="1"/>
    <row r="729" ht="42.75" customHeight="1"/>
    <row r="730" ht="42.75" customHeight="1"/>
    <row r="731" ht="42.75" customHeight="1"/>
    <row r="732" ht="42.75" customHeight="1"/>
    <row r="733" ht="42.75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42.75" customHeight="1"/>
    <row r="741" ht="42.75" customHeight="1"/>
    <row r="742" ht="42.75" customHeight="1"/>
    <row r="743" ht="42.75" customHeight="1"/>
    <row r="744" ht="42.75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42.75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42.75" customHeight="1"/>
    <row r="790" ht="42.75" customHeight="1"/>
    <row r="791" ht="42.75" customHeight="1"/>
    <row r="792" ht="42.75" customHeight="1"/>
    <row r="793" ht="42.75" customHeight="1"/>
    <row r="794" ht="42.75" customHeight="1"/>
    <row r="795" ht="42.75" customHeight="1"/>
    <row r="796" ht="42.75" customHeight="1"/>
    <row r="797" ht="42.75" customHeight="1"/>
    <row r="798" ht="42.75" customHeight="1"/>
    <row r="799" ht="42.75" customHeight="1"/>
    <row r="800" ht="42.75" customHeight="1"/>
    <row r="801" ht="42.75" customHeight="1"/>
    <row r="802" ht="42.75" customHeight="1"/>
    <row r="803" ht="42.75" customHeight="1"/>
    <row r="804" ht="42.75" customHeight="1"/>
    <row r="805" ht="42.75" customHeight="1"/>
    <row r="806" ht="42.75" customHeight="1"/>
    <row r="807" ht="42.75" customHeight="1"/>
    <row r="808" ht="42.75" customHeight="1"/>
    <row r="809" ht="42.75" customHeight="1"/>
    <row r="810" ht="42.75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42.75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42.75" customHeight="1"/>
    <row r="825" ht="42.75" customHeight="1"/>
    <row r="826" ht="42.75" customHeight="1"/>
    <row r="827" ht="42.75" customHeight="1"/>
    <row r="828" ht="42.75" customHeight="1"/>
    <row r="829" ht="42.75" customHeight="1"/>
    <row r="830" ht="42.75" customHeight="1"/>
    <row r="831" ht="42.75" customHeight="1"/>
    <row r="832" ht="42.75" customHeight="1"/>
    <row r="833" ht="42.75" customHeight="1"/>
    <row r="834" ht="42.75" customHeight="1"/>
    <row r="835" ht="42.75" customHeight="1"/>
    <row r="836" ht="42.75" customHeight="1"/>
    <row r="837" ht="42.75" customHeight="1"/>
    <row r="838" ht="42.75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42.75" customHeight="1"/>
    <row r="846" ht="42.75" customHeight="1"/>
    <row r="847" ht="42.75" customHeight="1"/>
    <row r="848" ht="42.75" customHeight="1"/>
    <row r="849" ht="42.75" customHeight="1"/>
    <row r="850" ht="42.75" customHeight="1"/>
    <row r="851" ht="42.75" customHeight="1"/>
    <row r="852" ht="42.75" customHeight="1"/>
    <row r="853" ht="42.75" customHeight="1"/>
    <row r="854" ht="42.75" customHeight="1"/>
    <row r="855" ht="42.75" customHeight="1"/>
    <row r="856" ht="42.75" customHeight="1"/>
    <row r="857" ht="42.75" customHeight="1"/>
    <row r="858" ht="42.75" customHeight="1"/>
    <row r="859" ht="42.75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42.75" customHeight="1"/>
    <row r="867" ht="42.75" customHeight="1"/>
    <row r="868" ht="42.75" customHeight="1"/>
    <row r="869" ht="42.75" customHeight="1"/>
    <row r="870" ht="42.75" customHeight="1"/>
    <row r="871" ht="42.75" customHeight="1"/>
    <row r="872" ht="42.75" customHeight="1"/>
    <row r="873" ht="42.75" customHeight="1"/>
    <row r="874" ht="42.75" customHeight="1"/>
    <row r="875" ht="42.75" customHeight="1"/>
    <row r="876" ht="42.75" customHeight="1"/>
    <row r="877" ht="42.75" customHeight="1"/>
    <row r="878" ht="42.75" customHeight="1"/>
    <row r="879" ht="42.75" customHeight="1"/>
    <row r="880" ht="42.75" customHeight="1"/>
    <row r="881" ht="42.75" customHeight="1"/>
    <row r="882" ht="42.75" customHeight="1"/>
    <row r="883" ht="42.75" customHeight="1"/>
    <row r="884" ht="42.75" customHeight="1"/>
    <row r="885" ht="42.75" customHeight="1"/>
    <row r="886" ht="42.75" customHeight="1"/>
    <row r="887" ht="42.75" customHeight="1"/>
    <row r="888" ht="42.75" customHeight="1"/>
    <row r="889" ht="42.75" customHeight="1"/>
    <row r="890" ht="42.75" customHeight="1"/>
    <row r="891" ht="42.75" customHeight="1"/>
    <row r="892" ht="42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42.75" customHeight="1"/>
    <row r="931" ht="42.75" customHeight="1"/>
    <row r="932" ht="42.75" customHeight="1"/>
    <row r="933" ht="42.75" customHeight="1"/>
    <row r="934" ht="42.75" customHeight="1"/>
    <row r="935" ht="42.75" customHeight="1"/>
    <row r="936" ht="42.75" customHeight="1"/>
    <row r="937" ht="42.75" customHeight="1"/>
    <row r="938" ht="42.75" customHeight="1"/>
    <row r="939" ht="42.75" customHeight="1"/>
    <row r="940" ht="42.75" customHeight="1"/>
    <row r="941" ht="42.75" customHeight="1"/>
    <row r="942" ht="42.75" customHeight="1"/>
    <row r="943" ht="42.75" customHeight="1"/>
    <row r="944" ht="42.75" customHeight="1"/>
    <row r="945" ht="42.75" customHeight="1"/>
    <row r="946" ht="42.75" customHeight="1"/>
    <row r="947" ht="42.75" customHeight="1"/>
    <row r="948" ht="42.75" customHeight="1"/>
    <row r="949" ht="42.75" customHeight="1"/>
    <row r="950" ht="42.75" customHeight="1"/>
    <row r="951" ht="42.75" customHeight="1"/>
    <row r="952" ht="42.75" customHeight="1"/>
    <row r="953" ht="42.75" customHeight="1"/>
    <row r="954" ht="42.75" customHeight="1"/>
    <row r="955" ht="42.75" customHeight="1"/>
    <row r="956" ht="42.75" customHeight="1"/>
    <row r="957" ht="42.75" customHeight="1"/>
    <row r="958" ht="42.75" customHeight="1"/>
    <row r="959" ht="42.75" customHeight="1"/>
    <row r="960" ht="42.75" customHeight="1"/>
    <row r="961" ht="42.75" customHeight="1"/>
    <row r="962" ht="42.75" customHeight="1"/>
    <row r="963" ht="42.75" customHeight="1"/>
    <row r="964" ht="42.75" customHeight="1"/>
    <row r="965" ht="42.75" customHeight="1"/>
    <row r="966" ht="42.75" customHeight="1"/>
    <row r="967" ht="42.75" customHeight="1"/>
    <row r="968" ht="42.75" customHeight="1"/>
    <row r="969" ht="42.75" customHeight="1"/>
    <row r="970" ht="42.75" customHeight="1"/>
    <row r="971" ht="42.75" customHeight="1"/>
    <row r="972" ht="42.75" customHeight="1"/>
    <row r="973" ht="42.75" customHeight="1"/>
    <row r="974" ht="42.75" customHeight="1"/>
    <row r="975" ht="42.75" customHeight="1"/>
    <row r="976" ht="42.75" customHeight="1"/>
    <row r="977" ht="42.75" customHeight="1"/>
    <row r="978" ht="42.75" customHeight="1"/>
    <row r="979" ht="42.75" customHeight="1"/>
    <row r="980" ht="42.75" customHeight="1"/>
    <row r="981" ht="42.75" customHeight="1"/>
    <row r="982" ht="42.75" customHeight="1"/>
    <row r="983" ht="42.75" customHeight="1"/>
    <row r="984" ht="42.75" customHeight="1"/>
    <row r="985" ht="42.75" customHeight="1"/>
    <row r="986" ht="42.75" customHeight="1"/>
    <row r="987" ht="42.75" customHeight="1"/>
    <row r="988" ht="42.75" customHeight="1"/>
    <row r="989" ht="42.75" customHeight="1"/>
    <row r="990" ht="42.75" customHeight="1"/>
    <row r="991" ht="42.75" customHeight="1"/>
    <row r="992" ht="42.75" customHeight="1"/>
    <row r="993" ht="42.75" customHeight="1"/>
    <row r="994" ht="42.75" customHeight="1"/>
    <row r="995" ht="42.75" customHeight="1"/>
    <row r="996" ht="42.75" customHeight="1"/>
    <row r="997" ht="42.75" customHeight="1"/>
    <row r="998" ht="42.75" customHeight="1"/>
    <row r="999" ht="42.75" customHeight="1"/>
    <row r="1000" ht="42.75" customHeight="1"/>
  </sheetData>
  <mergeCells count="9">
    <mergeCell ref="S2:AN2"/>
    <mergeCell ref="AO2:AR2"/>
    <mergeCell ref="A1:A2"/>
    <mergeCell ref="B1:B2"/>
    <mergeCell ref="C1:C2"/>
    <mergeCell ref="D2:H2"/>
    <mergeCell ref="I2:J2"/>
    <mergeCell ref="K2:N2"/>
    <mergeCell ref="O2:R2"/>
  </mergeCells>
  <drawing r:id="rId2"/>
  <legacyDrawing r:id="rId3"/>
</worksheet>
</file>